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itesh\Desktop\MapUp-Data-Assessment-F-main\MapUp-Data-Assessment-F-main\"/>
    </mc:Choice>
  </mc:AlternateContent>
  <xr:revisionPtr revIDLastSave="0" documentId="13_ncr:1_{21CABDF4-D350-45A8-8E1D-DC7BD5904A8F}" xr6:coauthVersionLast="47" xr6:coauthVersionMax="47" xr10:uidLastSave="{00000000-0000-0000-0000-000000000000}"/>
  <bookViews>
    <workbookView xWindow="-108" yWindow="-108" windowWidth="30936" windowHeight="12576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F29" i="18"/>
  <c r="E29" i="18"/>
  <c r="F30" i="18"/>
  <c r="E30" i="18"/>
  <c r="D30" i="18"/>
  <c r="C30" i="18"/>
  <c r="B30" i="18"/>
  <c r="E28" i="18"/>
  <c r="D29" i="18"/>
  <c r="C29" i="18"/>
  <c r="C28" i="18"/>
  <c r="B29" i="18"/>
  <c r="B28" i="18"/>
  <c r="F28" i="18"/>
  <c r="D28" i="18"/>
  <c r="B7" i="18" a="1"/>
  <c r="B7" i="18" s="1"/>
  <c r="B8" i="18" a="1"/>
  <c r="B8" i="18" s="1"/>
  <c r="B9" i="18" a="1"/>
  <c r="B9" i="18" s="1"/>
  <c r="B10" i="18" a="1"/>
  <c r="B10" i="18" s="1"/>
  <c r="B11" i="18" a="1"/>
  <c r="B11" i="18" s="1"/>
  <c r="B12" i="18" a="1"/>
  <c r="B12" i="18" s="1"/>
  <c r="B13" i="18" a="1"/>
  <c r="B13" i="18" s="1"/>
  <c r="B14" i="18" a="1"/>
  <c r="B14" i="18" s="1"/>
  <c r="B15" i="18" a="1"/>
  <c r="B15" i="18" s="1"/>
  <c r="B16" i="18" a="1"/>
  <c r="B16" i="18" s="1"/>
  <c r="B17" i="18" a="1"/>
  <c r="B17" i="18" s="1"/>
  <c r="B18" i="18" a="1"/>
  <c r="B18" i="18" s="1"/>
  <c r="B19" i="18" a="1"/>
  <c r="B19" i="18" s="1"/>
  <c r="B20" i="18" a="1"/>
  <c r="B20" i="18" s="1"/>
  <c r="B21" i="18" a="1"/>
  <c r="B21" i="18" s="1"/>
  <c r="B22" i="18" a="1"/>
  <c r="B22" i="18" s="1"/>
  <c r="B23" i="18" a="1"/>
  <c r="B23" i="18" s="1"/>
  <c r="B24" i="18" a="1"/>
  <c r="B24" i="18" s="1"/>
  <c r="B25" i="18" a="1"/>
  <c r="B25" i="18" s="1"/>
  <c r="B26" i="18" a="1"/>
  <c r="B26" i="18" s="1"/>
  <c r="B27" i="18" a="1"/>
  <c r="B27" i="18" s="1"/>
  <c r="B6" i="18" a="1"/>
  <c r="B6" i="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<sst xmlns="http://schemas.openxmlformats.org/spreadsheetml/2006/main" count="407" uniqueCount="184">
  <si>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</si>
  <si>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</si>
  <si>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</si>
  <si>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</si>
  <si>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</si>
  <si>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</si>
  <si>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</si>
  <si>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</si>
  <si>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</si>
  <si>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</si>
  <si>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</si>
  <si>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</si>
  <si>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</si>
  <si>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</si>
  <si>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</si>
  <si>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</si>
  <si>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</si>
  <si>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</si>
  <si>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</si>
  <si>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</si>
  <si>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</si>
  <si>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</si>
  <si>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</si>
  <si>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</si>
  <si>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</si>
  <si>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</si>
  <si>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</si>
  <si>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</si>
  <si>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</si>
  <si>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</si>
  <si>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</si>
  <si>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</si>
  <si>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</si>
  <si>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</si>
  <si>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</si>
  <si>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</si>
  <si>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</si>
  <si>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</si>
  <si>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</si>
  <si>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</si>
  <si>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</si>
  <si>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</si>
  <si>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</si>
  <si>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</si>
  <si>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</si>
  <si>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</si>
  <si>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</si>
  <si>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</si>
  <si>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</si>
  <si>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</si>
  <si>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</si>
  <si>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</si>
  <si>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</si>
  <si>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</si>
  <si>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</si>
  <si>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</si>
  <si>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</si>
  <si>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</si>
  <si>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</si>
  <si>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</si>
  <si>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</si>
  <si>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</si>
  <si>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</si>
  <si>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</si>
  <si>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</si>
  <si>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</si>
  <si>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</si>
  <si>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</si>
  <si>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</si>
  <si>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</si>
  <si>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</si>
  <si>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</si>
  <si>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</si>
  <si>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</si>
  <si>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</si>
  <si>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</si>
  <si>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</si>
  <si>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</si>
  <si>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</si>
  <si>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</si>
  <si>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</si>
  <si>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</si>
  <si>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</si>
  <si>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</si>
  <si>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</si>
  <si>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</si>
  <si>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</si>
  <si>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</si>
  <si>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</si>
  <si>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</si>
  <si>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</si>
  <si>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</si>
  <si>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</si>
  <si>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</si>
  <si>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</si>
  <si>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</si>
  <si>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</si>
  <si>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</si>
  <si>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</si>
  <si>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</si>
  <si>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</si>
  <si>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</si>
  <si>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</si>
  <si>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</si>
  <si>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</si>
  <si>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</si>
  <si>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</si>
  <si>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</si>
  <si>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</si>
  <si>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</si>
  <si>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</si>
  <si>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</si>
  <si>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</si>
  <si>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</si>
  <si>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</si>
  <si>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</si>
  <si>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</si>
  <si>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</si>
  <si>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</si>
  <si>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</si>
  <si>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</si>
  <si>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</si>
  <si>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</si>
  <si>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</si>
  <si>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</si>
  <si>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</si>
  <si>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</si>
  <si>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</si>
  <si>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</si>
  <si>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</si>
  <si>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</si>
  <si>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</si>
  <si>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</si>
  <si>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</si>
  <si>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</si>
  <si>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</si>
  <si>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</si>
  <si>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</si>
  <si>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</si>
  <si>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</si>
  <si>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</si>
  <si>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</si>
  <si>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</si>
  <si>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</si>
  <si>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</si>
  <si>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</si>
  <si>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</si>
  <si>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</si>
  <si>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</si>
  <si>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</si>
  <si>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</si>
  <si>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</si>
  <si>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</si>
  <si>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</si>
  <si>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</si>
  <si>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</si>
  <si>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</si>
  <si>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</si>
  <si>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</si>
  <si>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</si>
  <si>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</si>
  <si>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</si>
  <si>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</si>
  <si>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</si>
  <si>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</si>
  <si>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</si>
  <si>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</si>
  <si>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</si>
  <si>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</si>
  <si>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</si>
  <si>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</si>
  <si>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</si>
  <si>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</si>
  <si>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</si>
  <si>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</si>
  <si>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</si>
  <si>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</si>
  <si>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SUMIF(H1:H40, "&gt;20",H1:H40)</t>
  </si>
  <si>
    <t xml:space="preserve">IFERROR AND SUM FORMULA </t>
  </si>
  <si>
    <t>In case of any error . Eg. #VAL,#NA,#NULL, given value will be replaced. In this case, 20.</t>
  </si>
  <si>
    <t>INDEX, MATCH AND VLOOKUP</t>
  </si>
  <si>
    <t>Using VLOOPKUP, we first obtain the column names from table_b. Then using match function we identify the address and finally using index function , we return the value based on rows and column address.</t>
  </si>
  <si>
    <t>Text to columns</t>
  </si>
  <si>
    <t>Separated the values using "-" as a delimiter.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</si>
</sst>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30" sqref="B3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85" zoomScaleNormal="85" workbookViewId="0">
      <pane ySplit="1" topLeftCell="A7" activePane="bottomLeft" state="frozen"/>
      <selection pane="bottomLeft" activeCell="M14" sqref="M1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G1:X40">
    <cfRule type="cellIs" dxfId="3" priority="4" operator="equal">
      <formula xml:space="preserve"> -1</formula>
    </cfRule>
  </conditionalFormatting>
  <conditionalFormatting sqref="J14">
    <cfRule type="cellIs" dxfId="2" priority="3" operator="equal">
      <formula>0</formula>
    </cfRule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30" sqref="B3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115" zoomScaleNormal="115" workbookViewId="0">
      <selection activeCell="C24" sqref="C2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cm="1">
        <f t="array" ref="B6:F6">VLOOKUP(A6,Dataset!A1:X40,{7,13,18,20,22},0)</f>
        <v>2.7</v>
      </c>
      <c r="C6" s="12">
        <v>5.3</v>
      </c>
      <c r="D6" s="12">
        <v>4.2</v>
      </c>
      <c r="E6" s="12">
        <v>8.9</v>
      </c>
      <c r="F6" s="8">
        <v>4.2</v>
      </c>
    </row>
    <row r="7" spans="1:7" ht="14.4" x14ac:dyDescent="0.3">
      <c r="A7" s="7" t="s">
        <v>4</v>
      </c>
      <c r="B7" s="12" cm="1">
        <f t="array" ref="B7:F7">VLOOKUP(A7,Dataset!A2:X41,{7,13,18,20,22},0)</f>
        <v>2.7</v>
      </c>
      <c r="C7" s="12">
        <v>5.3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12" cm="1">
        <f t="array" ref="B8:F8">VLOOKUP(A8,Dataset!A3:X42,{7,13,18,20,22},0)</f>
        <v>3.6</v>
      </c>
      <c r="C8" s="12">
        <v>7.6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12" cm="1">
        <f t="array" ref="B9:F9">VLOOKUP(A9,Dataset!A4:X43,{7,13,18,20,22},0)</f>
        <v>4.9000000000000004</v>
      </c>
      <c r="C9" s="12">
        <v>10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12" cm="1">
        <f t="array" ref="B10:F10">VLOOKUP(A10,Dataset!A5:X44,{7,13,18,20,22},0)</f>
        <v>9.4</v>
      </c>
      <c r="C10" s="12">
        <v>19.2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12" cm="1">
        <f t="array" ref="B11:F11">VLOOKUP(A11,Dataset!A6:X45,{7,13,18,20,22},0)</f>
        <v>11.6</v>
      </c>
      <c r="C11" s="12">
        <v>23.6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12" cm="1">
        <f t="array" ref="B12:F12">VLOOKUP(A12,Dataset!A7:X46,{7,13,18,20,22},0)</f>
        <v>18.399999999999999</v>
      </c>
      <c r="C12" s="12">
        <v>37.200000000000003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 cm="1">
        <f t="array" ref="B13:F13">VLOOKUP(A13,Dataset!A8:X47,{7,13,18,20,22},0)</f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 cm="1">
        <f t="array" ref="B14:F14">VLOOKUP(A14,Dataset!A9:X48,{7,13,18,20,22},0)</f>
        <v>21.9</v>
      </c>
      <c r="C14" s="12">
        <v>42.3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 cm="1">
        <f t="array" ref="B15:F15">VLOOKUP(A15,Dataset!A10:X49,{7,13,18,20,22},0)</f>
        <v>26.8</v>
      </c>
      <c r="C15" s="12">
        <v>54.6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12" cm="1">
        <f t="array" ref="B16:F16">VLOOKUP(A16,Dataset!A11:X50,{7,13,18,20,22},0)</f>
        <v>28.5</v>
      </c>
      <c r="C16" s="12">
        <v>58.3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 cm="1">
        <f t="array" ref="B17:F17">VLOOKUP(A17,Dataset!A12:X51,{7,13,18,20,22},0)</f>
        <v>30.7</v>
      </c>
      <c r="C17" s="12">
        <v>62.5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 cm="1">
        <f t="array" ref="B18:F18">VLOOKUP(A18,Dataset!A13:X52,{7,13,18,20,22},0)</f>
        <v>33.799999999999997</v>
      </c>
      <c r="C18" s="12">
        <v>67.900000000000006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 cm="1">
        <f t="array" ref="B19:F19">VLOOKUP(A19,Dataset!A14:X53,{7,13,18,20,22},0)</f>
        <v>34.700000000000003</v>
      </c>
      <c r="C19" s="12">
        <v>70.8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 cm="1">
        <f t="array" ref="B20:F20">VLOOKUP(A20,Dataset!A15:X54,{7,13,18,20,22},0)</f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 cm="1">
        <f t="array" ref="B21:F21">VLOOKUP(A21,Dataset!A16:X55,{7,13,18,20,22},0)</f>
        <v>41.3</v>
      </c>
      <c r="C21" s="12">
        <v>83.5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 cm="1">
        <f t="array" ref="B22:F22">VLOOKUP(A22,Dataset!A17:X56,{7,13,18,20,22},0)</f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 cm="1">
        <f t="array" ref="B23:F23">VLOOKUP(A23,Dataset!A18:X57,{7,13,18,20,22},0)</f>
        <v>45</v>
      </c>
      <c r="C23" s="12">
        <v>90.9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 cm="1">
        <f t="array" ref="B24:F24">VLOOKUP(A24,Dataset!A19:X58,{7,13,18,20,22},0)</f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 cm="1">
        <f t="array" ref="B25:F25">VLOOKUP(A25,Dataset!A20:X59,{7,13,18,20,22},0)</f>
        <v>43.3</v>
      </c>
      <c r="C25" s="12">
        <v>87.6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 cm="1">
        <f t="array" ref="B26:F26">VLOOKUP(A26,Dataset!A21:X60,{7,13,18,20,22},0)</f>
        <v>49.1</v>
      </c>
      <c r="C26" s="12">
        <v>99.5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 cm="1">
        <f t="array" ref="B27:F27">VLOOKUP(A27,Dataset!A22:X61,{7,13,18,20,22},0)</f>
        <v>51.8</v>
      </c>
      <c r="C27" s="12">
        <v>104.5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 s="31">
        <f>MIN(Dataset!$G$2:$G$40)</f>
        <v>-1</v>
      </c>
      <c r="C28" s="31">
        <f>MIN(Dataset!$N$1:$N$40)</f>
        <v>-1</v>
      </c>
      <c r="D28" s="31">
        <f>MIN(Dataset!$R$1:$R$40)</f>
        <v>-1</v>
      </c>
      <c r="E28" s="31">
        <f>MIN(Dataset!$T$1:$T$40)</f>
        <v>-1</v>
      </c>
      <c r="F28" s="31">
        <f>MIN(Dataset!$V$1:$V$40)</f>
        <v>-1</v>
      </c>
    </row>
    <row r="29" spans="1:6" ht="14.4" x14ac:dyDescent="0.3">
      <c r="A29" s="19" t="s">
        <v>83</v>
      </c>
      <c r="B29" s="31">
        <f>MAX(Dataset!$G$2:$G$40)</f>
        <v>51.8</v>
      </c>
      <c r="C29" s="31">
        <f>MAX(Dataset!$N$1:$N$40)</f>
        <v>156.4</v>
      </c>
      <c r="D29" s="31">
        <f>MAX(Dataset!$R$1:$R$40)</f>
        <v>93.1</v>
      </c>
      <c r="E29" s="31">
        <f>MAX(Dataset!$T$1:$T$40)</f>
        <v>188.1</v>
      </c>
      <c r="F29" s="31">
        <f>MAX(Dataset!$V$1:$V$40)</f>
        <v>93.1</v>
      </c>
    </row>
    <row r="30" spans="1:6" ht="14.4" x14ac:dyDescent="0.3">
      <c r="A30" s="19" t="s">
        <v>84</v>
      </c>
      <c r="B30" s="31">
        <f>AVERAGE(Dataset!$G$2:$G$40)</f>
        <v>26.658974358974355</v>
      </c>
      <c r="C30" s="31">
        <f>AVERAGE(Dataset!$N$1:$N$40)</f>
        <v>79.930769230769243</v>
      </c>
      <c r="D30" s="31">
        <f>AVERAGE(Dataset!$R$1:$R$40)</f>
        <v>48.366666666666674</v>
      </c>
      <c r="E30" s="31">
        <f>AVERAGE(Dataset!$T$1:$T$40)</f>
        <v>97.789743589743594</v>
      </c>
      <c r="F30" s="31">
        <f>AVERAGE(Dataset!$V$1:$V$40)</f>
        <v>48.366666666666674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="115" zoomScaleNormal="115" workbookViewId="0">
      <selection activeCell="C8" sqref="C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182</v>
      </c>
    </row>
    <row r="6" spans="1:10" ht="18" x14ac:dyDescent="0.35">
      <c r="A6" s="43" t="s">
        <v>153</v>
      </c>
      <c r="B6" s="40" t="s">
        <v>183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18" sqref="F1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 t="s">
        <v>180</v>
      </c>
    </row>
    <row r="5" spans="1:14" ht="18" x14ac:dyDescent="0.35">
      <c r="A5" s="43" t="s">
        <v>153</v>
      </c>
      <c r="B5" s="1" t="s">
        <v>181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INDEX($B$10:$J$18,MATCH(VLOOKUP(A23,$M$9:$N$18,2,0),$A$10:$A$18,0),MATCH(VLOOKUP(B23,$M$9:$N$18,2,0),$B$9:$J$9,0))</f>
        <v>95</v>
      </c>
      <c r="F23" s="7"/>
    </row>
    <row r="24" spans="1:14" ht="14.4" x14ac:dyDescent="0.3">
      <c r="A24" s="7">
        <v>10100</v>
      </c>
      <c r="B24" s="12">
        <v>10104</v>
      </c>
      <c r="C24" s="44">
        <f t="shared" ref="C24:C35" si="0">INDEX($B$10:$J$18,MATCH(VLOOKUP(A24,$M$9:$N$18,2,0),$A$10:$A$18,0),MATCH(VLOOKUP(B24,$M$9:$N$18,2,0),$B$9:$J$9,0))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22496</cp:lastModifiedBy>
  <dcterms:created xsi:type="dcterms:W3CDTF">2015-02-10T17:33:11Z</dcterms:created>
  <dcterms:modified xsi:type="dcterms:W3CDTF">2023-12-10T13:41:57Z</dcterms:modified>
</cp:coreProperties>
</file>